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viruser.v-desktop\Desktop\模板\"/>
    </mc:Choice>
  </mc:AlternateContent>
  <bookViews>
    <workbookView xWindow="0" yWindow="0" windowWidth="28800" windowHeight="11895" tabRatio="991"/>
  </bookViews>
  <sheets>
    <sheet name="Sheet1" sheetId="1" r:id="rId1"/>
    <sheet name="规则说明" sheetId="2" r:id="rId2"/>
  </sheets>
  <calcPr calcId="152511"/>
</workbook>
</file>

<file path=xl/calcChain.xml><?xml version="1.0" encoding="utf-8"?>
<calcChain xmlns="http://schemas.openxmlformats.org/spreadsheetml/2006/main">
  <c r="F15" i="1" l="1"/>
  <c r="G15" i="1" s="1"/>
  <c r="F18" i="1" l="1"/>
  <c r="G18" i="1" s="1"/>
  <c r="G16" i="1"/>
  <c r="F16" i="1"/>
  <c r="F17" i="1"/>
  <c r="G17" i="1" s="1"/>
  <c r="F36" i="1" l="1"/>
  <c r="F35" i="1"/>
  <c r="F34" i="1"/>
  <c r="F33" i="1"/>
  <c r="G32" i="1"/>
  <c r="G31" i="1"/>
  <c r="F32" i="1"/>
  <c r="F31" i="1"/>
</calcChain>
</file>

<file path=xl/sharedStrings.xml><?xml version="1.0" encoding="utf-8"?>
<sst xmlns="http://schemas.openxmlformats.org/spreadsheetml/2006/main" count="164" uniqueCount="90">
  <si>
    <t>交易日期</t>
  </si>
  <si>
    <t>证券代码</t>
  </si>
  <si>
    <t>业务类型</t>
  </si>
  <si>
    <t>数量</t>
  </si>
  <si>
    <t>价格</t>
  </si>
  <si>
    <t>成交金额</t>
  </si>
  <si>
    <t>费用</t>
  </si>
  <si>
    <t>证券类型</t>
  </si>
  <si>
    <t>说明</t>
  </si>
  <si>
    <t>CNY</t>
  </si>
  <si>
    <t>现金存入</t>
  </si>
  <si>
    <t>现金</t>
  </si>
  <si>
    <t>HKD</t>
  </si>
  <si>
    <t>现金取出</t>
  </si>
  <si>
    <t>USD</t>
  </si>
  <si>
    <t>600000</t>
  </si>
  <si>
    <t>买入</t>
  </si>
  <si>
    <t>A股</t>
  </si>
  <si>
    <t>000001</t>
  </si>
  <si>
    <t>卖出</t>
  </si>
  <si>
    <t>00700</t>
  </si>
  <si>
    <t>港股</t>
  </si>
  <si>
    <t>510500</t>
  </si>
  <si>
    <t>债券</t>
  </si>
  <si>
    <t>140902.IB</t>
  </si>
  <si>
    <t>204001</t>
  </si>
  <si>
    <t>回购</t>
  </si>
  <si>
    <t>业务类型支持输入“卖出”或“逆回购”</t>
  </si>
  <si>
    <t>131810</t>
  </si>
  <si>
    <t>业务类型支持输入“买入”或“正回购”</t>
  </si>
  <si>
    <t>资产划入</t>
  </si>
  <si>
    <t>资产划出</t>
  </si>
  <si>
    <t>IF2005.CFE</t>
  </si>
  <si>
    <t>多开</t>
  </si>
  <si>
    <t>期货</t>
  </si>
  <si>
    <t>多平</t>
  </si>
  <si>
    <t>空开</t>
  </si>
  <si>
    <t>空平</t>
  </si>
  <si>
    <t>1.字段说明</t>
  </si>
  <si>
    <t>字段</t>
  </si>
  <si>
    <t xml:space="preserve">支持三种格式录入： 20200520 或 2020/5/20 或 2020-5-20 </t>
  </si>
  <si>
    <t>若同一代码存在不同证券或交易所，须添加后缀用以区分，如140902.IB和140902.SH；若无该情况，不必添加后缀</t>
  </si>
  <si>
    <t>所有类型见sheet1中业务类型示例</t>
  </si>
  <si>
    <t>回购的价格为市场市场利率，单位默认为%</t>
  </si>
  <si>
    <t>2.代码添加后缀规则(若同一代码存在不同证券，须添加后缀用以区分，如140902.IB和140902.SH；若无该情况，不必添加后缀)</t>
  </si>
  <si>
    <t>交易市场/品种</t>
  </si>
  <si>
    <t>后缀示例</t>
  </si>
  <si>
    <t>上交所</t>
  </si>
  <si>
    <t>xxxxxx.SH</t>
  </si>
  <si>
    <t>例: 600000.SH</t>
  </si>
  <si>
    <t>深交所</t>
  </si>
  <si>
    <t>xxxxxx.SZ</t>
  </si>
  <si>
    <t>例：000001.SZ</t>
  </si>
  <si>
    <t>银行间债券市场</t>
  </si>
  <si>
    <t>xxxxxx.IB</t>
  </si>
  <si>
    <t>例：140902.IB</t>
  </si>
  <si>
    <t>港交所</t>
  </si>
  <si>
    <t>xxxxx.HK</t>
  </si>
  <si>
    <t>上海期货交易所</t>
  </si>
  <si>
    <t>xxxxxx.SHF</t>
  </si>
  <si>
    <t>大连商品交易所</t>
  </si>
  <si>
    <t>xxxxxx.DCE</t>
  </si>
  <si>
    <t>中国金融期货交易所</t>
  </si>
  <si>
    <t>xxxxxx.CFE</t>
  </si>
  <si>
    <t>郑州商品交易所</t>
  </si>
  <si>
    <t>xxxxxx.CZC</t>
  </si>
  <si>
    <t>基金(场内+场外)</t>
  </si>
  <si>
    <t>xxxxxx.OF</t>
  </si>
  <si>
    <t>所有基金品种后缀均为.OF，不受交易市场限制</t>
  </si>
  <si>
    <t>3.其他</t>
  </si>
  <si>
    <t>事项</t>
  </si>
  <si>
    <t>若是粘贴录入，应连同字段名和数据一起复制</t>
  </si>
  <si>
    <t>场内基金</t>
    <phoneticPr fontId="7" type="noConversion"/>
  </si>
  <si>
    <t>场外基金</t>
    <phoneticPr fontId="7" type="noConversion"/>
  </si>
  <si>
    <t>卖出</t>
    <phoneticPr fontId="7" type="noConversion"/>
  </si>
  <si>
    <t>买入</t>
    <phoneticPr fontId="7" type="noConversion"/>
  </si>
  <si>
    <t>美股</t>
    <phoneticPr fontId="7" type="noConversion"/>
  </si>
  <si>
    <t>期权</t>
    <phoneticPr fontId="7" type="noConversion"/>
  </si>
  <si>
    <t>161903</t>
    <phoneticPr fontId="7" type="noConversion"/>
  </si>
  <si>
    <t>AAPL</t>
    <phoneticPr fontId="7" type="noConversion"/>
  </si>
  <si>
    <t>10002504.SH</t>
    <phoneticPr fontId="7" type="noConversion"/>
  </si>
  <si>
    <t>10002504.SH</t>
    <phoneticPr fontId="7" type="noConversion"/>
  </si>
  <si>
    <t>成交金额 = 数量×价格</t>
    <phoneticPr fontId="7" type="noConversion"/>
  </si>
  <si>
    <t>债券</t>
    <phoneticPr fontId="7" type="noConversion"/>
  </si>
  <si>
    <t>019627.SH</t>
    <phoneticPr fontId="7" type="noConversion"/>
  </si>
  <si>
    <t>净价债券</t>
    <phoneticPr fontId="7" type="noConversion"/>
  </si>
  <si>
    <t>全价债券</t>
    <phoneticPr fontId="7" type="noConversion"/>
  </si>
  <si>
    <t>可转债</t>
    <phoneticPr fontId="7" type="noConversion"/>
  </si>
  <si>
    <t>包括现金、A股、港股、美股、债券、净价债券、全价债券、基金、回购、期货、期权。其中净价债券类型的价格为
净价、全价债券的价格为全价。债券默认为全价债券。可转债证券类型为“可转债”</t>
    <phoneticPr fontId="7" type="noConversion"/>
  </si>
  <si>
    <t>127005.SZ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</si>
</sst>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0.0000"/>
    <numFmt numFmtId="178" formatCode="yyyy\-mm\-dd"/>
  </numFmts>
  <fonts count="9" x14ac:knownFonts="1">
    <font>
      <sz val="11"/>
      <color rgb="FF000000"/>
      <name val="宋体"/>
      <charset val="134"/>
    </font>
    <font>
      <sz val="10"/>
      <color rgb="FF000000"/>
      <name val="宋体"/>
      <family val="3"/>
      <charset val="134"/>
    </font>
    <font>
      <b/>
      <sz val="10"/>
      <color rgb="FFC00000"/>
      <name val="宋体"/>
      <family val="3"/>
      <charset val="134"/>
    </font>
    <font>
      <b/>
      <sz val="10"/>
      <color rgb="FFEEECE1"/>
      <name val="微软雅黑"/>
      <family val="2"/>
      <charset val="134"/>
    </font>
    <font>
      <sz val="10"/>
      <color theme="1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  <font>
      <b/>
      <sz val="11"/>
      <color rgb="FFEEECE1"/>
      <name val="微软雅黑"/>
      <family val="2"/>
      <charset val="134"/>
    </font>
    <font>
      <sz val="9"/>
      <name val="宋体"/>
      <family val="3"/>
      <charset val="134"/>
    </font>
    <font>
      <sz val="11"/>
      <color rgb="FFFF000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  <fill>
      <patternFill patternType="solid">
        <fgColor rgb="FF808080"/>
        <bgColor indexed="64"/>
      </patternFill>
    </fill>
    <fill>
      <patternFill patternType="solid">
        <fgColor rgb="FFC00000"/>
        <bgColor rgb="FF8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3" borderId="0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0" xfId="0" applyFont="1">
      <alignment vertical="center"/>
    </xf>
    <xf numFmtId="49" fontId="5" fillId="0" borderId="0" xfId="0" applyNumberFormat="1" applyFont="1">
      <alignment vertical="center"/>
    </xf>
    <xf numFmtId="0" fontId="6" fillId="4" borderId="0" xfId="0" applyFont="1" applyFill="1" applyBorder="1" applyAlignment="1">
      <alignment horizontal="center" vertical="center"/>
    </xf>
    <xf numFmtId="49" fontId="6" fillId="4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4" borderId="0" xfId="0" applyFont="1" applyFill="1" applyBorder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176" fontId="6" fillId="4" borderId="0" xfId="0" applyNumberFormat="1" applyFont="1" applyFill="1" applyBorder="1" applyAlignment="1">
      <alignment horizontal="right" vertical="center"/>
    </xf>
    <xf numFmtId="177" fontId="5" fillId="0" borderId="0" xfId="0" applyNumberFormat="1" applyFont="1" applyAlignment="1">
      <alignment horizontal="right" vertical="center"/>
    </xf>
    <xf numFmtId="178" fontId="6" fillId="4" borderId="0" xfId="0" applyNumberFormat="1" applyFont="1" applyFill="1" applyBorder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178" fontId="5" fillId="0" borderId="0" xfId="0" applyNumberFormat="1" applyFont="1">
      <alignment vertical="center"/>
    </xf>
    <xf numFmtId="0" fontId="8" fillId="5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EEECE1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abSelected="1" workbookViewId="0">
      <pane ySplit="1" topLeftCell="A8" activePane="bottomLeft" state="frozen"/>
      <selection pane="bottomLeft" activeCell="C17" sqref="C17"/>
    </sheetView>
  </sheetViews>
  <sheetFormatPr defaultColWidth="9" defaultRowHeight="16.5" x14ac:dyDescent="0.15"/>
  <cols>
    <col min="1" max="1" width="12" style="25" customWidth="1"/>
    <col min="2" max="2" width="13.375" style="10"/>
    <col min="3" max="3" width="11" style="9" customWidth="1"/>
    <col min="4" max="4" width="8" style="20" customWidth="1"/>
    <col min="5" max="5" width="10.5" style="20" customWidth="1"/>
    <col min="6" max="6" width="13.125" style="19" customWidth="1"/>
    <col min="7" max="7" width="8.5" style="19" customWidth="1"/>
    <col min="8" max="8" width="11.625" style="9" customWidth="1"/>
    <col min="9" max="9" width="38.75" style="9"/>
    <col min="10" max="1023" width="8.5" style="9"/>
    <col min="1024" max="16384" width="9" style="9"/>
  </cols>
  <sheetData>
    <row r="1" spans="1:9" x14ac:dyDescent="0.15">
      <c r="A1" s="23" t="s">
        <v>0</v>
      </c>
      <c r="B1" s="12" t="s">
        <v>1</v>
      </c>
      <c r="C1" s="11" t="s">
        <v>2</v>
      </c>
      <c r="D1" s="18" t="s">
        <v>3</v>
      </c>
      <c r="E1" s="18" t="s">
        <v>4</v>
      </c>
      <c r="F1" s="21" t="s">
        <v>5</v>
      </c>
      <c r="G1" s="21" t="s">
        <v>6</v>
      </c>
      <c r="H1" s="11" t="s">
        <v>7</v>
      </c>
      <c r="I1" s="16" t="s">
        <v>8</v>
      </c>
    </row>
    <row r="2" spans="1:9" x14ac:dyDescent="0.15">
      <c r="A2" s="24">
        <v>43920</v>
      </c>
      <c r="B2" s="13" t="s">
        <v>9</v>
      </c>
      <c r="C2" s="14" t="s">
        <v>10</v>
      </c>
      <c r="F2" s="19">
        <v>2000000</v>
      </c>
      <c r="H2" s="14" t="s">
        <v>11</v>
      </c>
      <c r="I2" s="17"/>
    </row>
    <row r="3" spans="1:9" x14ac:dyDescent="0.15">
      <c r="A3" s="24">
        <v>43920</v>
      </c>
      <c r="B3" s="13" t="s">
        <v>12</v>
      </c>
      <c r="C3" s="14" t="s">
        <v>13</v>
      </c>
      <c r="F3" s="19">
        <v>50000</v>
      </c>
      <c r="H3" s="14" t="s">
        <v>11</v>
      </c>
      <c r="I3" s="17"/>
    </row>
    <row r="4" spans="1:9" x14ac:dyDescent="0.15">
      <c r="A4" s="24">
        <v>43920</v>
      </c>
      <c r="B4" s="13" t="s">
        <v>14</v>
      </c>
      <c r="C4" s="14" t="s">
        <v>10</v>
      </c>
      <c r="F4" s="19">
        <v>7000</v>
      </c>
      <c r="H4" s="14" t="s">
        <v>11</v>
      </c>
      <c r="I4" s="17"/>
    </row>
    <row r="5" spans="1:9" x14ac:dyDescent="0.15">
      <c r="A5" s="24">
        <v>43922</v>
      </c>
      <c r="B5" s="13" t="s">
        <v>15</v>
      </c>
      <c r="C5" s="14" t="s">
        <v>16</v>
      </c>
      <c r="D5" s="20">
        <v>10000</v>
      </c>
      <c r="E5" s="20">
        <v>10.09</v>
      </c>
      <c r="F5" s="19">
        <v>100900</v>
      </c>
      <c r="G5" s="19">
        <v>25.225000000000001</v>
      </c>
      <c r="H5" s="14" t="s">
        <v>17</v>
      </c>
      <c r="I5" s="17"/>
    </row>
    <row r="6" spans="1:9" x14ac:dyDescent="0.15">
      <c r="A6" s="24">
        <v>43928</v>
      </c>
      <c r="B6" s="13" t="s">
        <v>15</v>
      </c>
      <c r="C6" s="14" t="s">
        <v>19</v>
      </c>
      <c r="D6" s="20">
        <v>5000</v>
      </c>
      <c r="E6" s="20">
        <v>10.28</v>
      </c>
      <c r="F6" s="19">
        <v>51400</v>
      </c>
      <c r="G6" s="19">
        <v>64.25</v>
      </c>
      <c r="H6" s="14" t="s">
        <v>17</v>
      </c>
      <c r="I6" s="17"/>
    </row>
    <row r="7" spans="1:9" x14ac:dyDescent="0.15">
      <c r="A7" s="24">
        <v>43922</v>
      </c>
      <c r="B7" s="13" t="s">
        <v>18</v>
      </c>
      <c r="C7" s="14" t="s">
        <v>16</v>
      </c>
      <c r="D7" s="20">
        <v>10000</v>
      </c>
      <c r="E7" s="20">
        <v>12.89</v>
      </c>
      <c r="F7" s="19">
        <v>128900</v>
      </c>
      <c r="G7" s="19">
        <v>32.225000000000001</v>
      </c>
      <c r="H7" s="14" t="s">
        <v>17</v>
      </c>
      <c r="I7" s="17"/>
    </row>
    <row r="8" spans="1:9" x14ac:dyDescent="0.15">
      <c r="A8" s="24">
        <v>43928</v>
      </c>
      <c r="B8" s="13" t="s">
        <v>18</v>
      </c>
      <c r="C8" s="14" t="s">
        <v>19</v>
      </c>
      <c r="D8" s="20">
        <v>5000</v>
      </c>
      <c r="E8" s="20">
        <v>12.88</v>
      </c>
      <c r="F8" s="19">
        <v>64400</v>
      </c>
      <c r="G8" s="19">
        <v>80.5</v>
      </c>
      <c r="H8" s="14" t="s">
        <v>17</v>
      </c>
      <c r="I8" s="17"/>
    </row>
    <row r="9" spans="1:9" x14ac:dyDescent="0.15">
      <c r="A9" s="24">
        <v>43922</v>
      </c>
      <c r="B9" s="13" t="s">
        <v>20</v>
      </c>
      <c r="C9" s="14" t="s">
        <v>16</v>
      </c>
      <c r="D9" s="20">
        <v>1000</v>
      </c>
      <c r="E9" s="20">
        <v>374.4</v>
      </c>
      <c r="F9" s="19">
        <v>374400</v>
      </c>
      <c r="G9" s="19">
        <v>561.6</v>
      </c>
      <c r="H9" s="14" t="s">
        <v>21</v>
      </c>
      <c r="I9" s="17"/>
    </row>
    <row r="10" spans="1:9" x14ac:dyDescent="0.15">
      <c r="A10" s="24">
        <v>43928</v>
      </c>
      <c r="B10" s="13" t="s">
        <v>20</v>
      </c>
      <c r="C10" s="14" t="s">
        <v>19</v>
      </c>
      <c r="D10" s="20">
        <v>900</v>
      </c>
      <c r="E10" s="20">
        <v>387.6</v>
      </c>
      <c r="F10" s="19">
        <v>387600</v>
      </c>
      <c r="G10" s="19">
        <v>581.4</v>
      </c>
      <c r="H10" s="14" t="s">
        <v>21</v>
      </c>
      <c r="I10" s="17"/>
    </row>
    <row r="11" spans="1:9" x14ac:dyDescent="0.15">
      <c r="A11" s="24">
        <v>43922</v>
      </c>
      <c r="B11" s="13" t="s">
        <v>22</v>
      </c>
      <c r="C11" s="14" t="s">
        <v>16</v>
      </c>
      <c r="D11" s="20">
        <v>20000</v>
      </c>
      <c r="E11" s="20">
        <v>5.4279999999999999</v>
      </c>
      <c r="F11" s="19">
        <v>108560</v>
      </c>
      <c r="G11" s="19">
        <v>27.14</v>
      </c>
      <c r="H11" s="14" t="s">
        <v>72</v>
      </c>
      <c r="I11" s="17"/>
    </row>
    <row r="12" spans="1:9" x14ac:dyDescent="0.15">
      <c r="A12" s="24">
        <v>43922</v>
      </c>
      <c r="B12" s="13" t="s">
        <v>22</v>
      </c>
      <c r="C12" s="14" t="s">
        <v>74</v>
      </c>
      <c r="D12" s="20">
        <v>19000</v>
      </c>
      <c r="E12" s="20">
        <v>5.4279999999999999</v>
      </c>
      <c r="F12" s="19">
        <v>108560</v>
      </c>
      <c r="G12" s="19">
        <v>27.14</v>
      </c>
      <c r="H12" s="14" t="s">
        <v>72</v>
      </c>
      <c r="I12" s="17"/>
    </row>
    <row r="13" spans="1:9" x14ac:dyDescent="0.15">
      <c r="A13" s="24">
        <v>43928</v>
      </c>
      <c r="B13" s="13" t="s">
        <v>78</v>
      </c>
      <c r="C13" s="14" t="s">
        <v>75</v>
      </c>
      <c r="D13" s="20">
        <v>10000</v>
      </c>
      <c r="E13" s="20">
        <v>5.6863999999999999</v>
      </c>
      <c r="F13" s="19">
        <v>56860</v>
      </c>
      <c r="G13" s="19">
        <v>14.215</v>
      </c>
      <c r="H13" s="14" t="s">
        <v>73</v>
      </c>
      <c r="I13" s="17"/>
    </row>
    <row r="14" spans="1:9" x14ac:dyDescent="0.15">
      <c r="A14" s="24">
        <v>43928</v>
      </c>
      <c r="B14" s="13" t="s">
        <v>78</v>
      </c>
      <c r="C14" s="14" t="s">
        <v>19</v>
      </c>
      <c r="D14" s="20">
        <v>9000</v>
      </c>
      <c r="E14" s="20">
        <v>5.6867000000000001</v>
      </c>
      <c r="F14" s="19">
        <v>56860</v>
      </c>
      <c r="G14" s="19">
        <v>14.215</v>
      </c>
      <c r="H14" s="14" t="s">
        <v>73</v>
      </c>
      <c r="I14" s="17"/>
    </row>
    <row r="15" spans="1:9" x14ac:dyDescent="0.15">
      <c r="A15" s="24">
        <v>43929</v>
      </c>
      <c r="B15" s="13" t="s">
        <v>89</v>
      </c>
      <c r="C15" s="14" t="s">
        <v>16</v>
      </c>
      <c r="D15" s="20">
        <v>1000</v>
      </c>
      <c r="E15" s="22">
        <v>100.77</v>
      </c>
      <c r="F15" s="19">
        <f>D15*E15</f>
        <v>100770</v>
      </c>
      <c r="G15" s="19">
        <f>0.001*F15</f>
        <v>100.77</v>
      </c>
      <c r="H15" s="26" t="s">
        <v>87</v>
      </c>
      <c r="I15" s="17"/>
    </row>
    <row r="16" spans="1:9" x14ac:dyDescent="0.15">
      <c r="A16" s="24">
        <v>43929</v>
      </c>
      <c r="B16" s="13" t="s">
        <v>84</v>
      </c>
      <c r="C16" s="14" t="s">
        <v>16</v>
      </c>
      <c r="D16" s="20">
        <v>1000</v>
      </c>
      <c r="E16" s="22">
        <v>100.77</v>
      </c>
      <c r="F16" s="19">
        <f>D16*E16</f>
        <v>100770</v>
      </c>
      <c r="G16" s="19">
        <f>0.001*F16</f>
        <v>100.77</v>
      </c>
      <c r="H16" s="14" t="s">
        <v>85</v>
      </c>
      <c r="I16" s="17"/>
    </row>
    <row r="17" spans="1:9" x14ac:dyDescent="0.15">
      <c r="A17" s="24">
        <v>43929</v>
      </c>
      <c r="B17" s="13" t="s">
        <v>84</v>
      </c>
      <c r="C17" s="14" t="s">
        <v>16</v>
      </c>
      <c r="D17" s="20">
        <v>1000</v>
      </c>
      <c r="E17" s="20">
        <v>101.3248</v>
      </c>
      <c r="F17" s="19">
        <f>D17*E17</f>
        <v>101324.8</v>
      </c>
      <c r="G17" s="20">
        <f>0.001*F17</f>
        <v>101.32480000000001</v>
      </c>
      <c r="H17" s="14" t="s">
        <v>86</v>
      </c>
      <c r="I17" s="17"/>
    </row>
    <row r="18" spans="1:9" x14ac:dyDescent="0.15">
      <c r="A18" s="24">
        <v>43930</v>
      </c>
      <c r="B18" s="13" t="s">
        <v>84</v>
      </c>
      <c r="C18" s="14" t="s">
        <v>19</v>
      </c>
      <c r="D18" s="20">
        <v>500</v>
      </c>
      <c r="E18" s="22">
        <v>101.251</v>
      </c>
      <c r="F18" s="19">
        <f>D18*E18</f>
        <v>50625.5</v>
      </c>
      <c r="G18" s="19">
        <f>F18*0.002</f>
        <v>101.251</v>
      </c>
      <c r="H18" s="14" t="s">
        <v>83</v>
      </c>
      <c r="I18" s="17"/>
    </row>
    <row r="19" spans="1:9" x14ac:dyDescent="0.15">
      <c r="A19" s="24">
        <v>43922</v>
      </c>
      <c r="B19" s="13" t="s">
        <v>24</v>
      </c>
      <c r="C19" s="14" t="s">
        <v>16</v>
      </c>
      <c r="D19" s="20">
        <v>900</v>
      </c>
      <c r="E19" s="20">
        <v>103.89409999999999</v>
      </c>
      <c r="F19" s="19">
        <v>103894.1</v>
      </c>
      <c r="G19" s="19">
        <v>25.973524999999999</v>
      </c>
      <c r="H19" s="14" t="s">
        <v>23</v>
      </c>
      <c r="I19" s="17"/>
    </row>
    <row r="20" spans="1:9" x14ac:dyDescent="0.15">
      <c r="A20" s="24">
        <v>43928</v>
      </c>
      <c r="B20" s="13" t="s">
        <v>24</v>
      </c>
      <c r="C20" s="14" t="s">
        <v>19</v>
      </c>
      <c r="D20" s="20">
        <v>300</v>
      </c>
      <c r="E20" s="20">
        <v>99.176299999999998</v>
      </c>
      <c r="F20" s="19">
        <v>29752.89</v>
      </c>
      <c r="G20" s="19">
        <v>7.4382225000000002</v>
      </c>
      <c r="H20" s="14" t="s">
        <v>23</v>
      </c>
      <c r="I20" s="17"/>
    </row>
    <row r="21" spans="1:9" x14ac:dyDescent="0.15">
      <c r="A21" s="24">
        <v>43922</v>
      </c>
      <c r="B21" s="13" t="s">
        <v>25</v>
      </c>
      <c r="C21" s="14" t="s">
        <v>19</v>
      </c>
      <c r="D21" s="20">
        <v>1000</v>
      </c>
      <c r="E21" s="20">
        <v>2.1339999999999999</v>
      </c>
      <c r="F21" s="19">
        <v>100000</v>
      </c>
      <c r="G21" s="19">
        <v>1</v>
      </c>
      <c r="H21" s="14" t="s">
        <v>26</v>
      </c>
      <c r="I21" s="17" t="s">
        <v>27</v>
      </c>
    </row>
    <row r="22" spans="1:9" x14ac:dyDescent="0.15">
      <c r="A22" s="24">
        <v>43923</v>
      </c>
      <c r="B22" s="13" t="s">
        <v>25</v>
      </c>
      <c r="C22" s="14" t="s">
        <v>16</v>
      </c>
      <c r="D22" s="20">
        <v>1000</v>
      </c>
      <c r="E22" s="20">
        <v>1.6870000000000001</v>
      </c>
      <c r="F22" s="19">
        <v>100000</v>
      </c>
      <c r="G22" s="19">
        <v>0</v>
      </c>
      <c r="H22" s="14" t="s">
        <v>26</v>
      </c>
      <c r="I22" s="17" t="s">
        <v>29</v>
      </c>
    </row>
    <row r="23" spans="1:9" x14ac:dyDescent="0.15">
      <c r="A23" s="24">
        <v>43922</v>
      </c>
      <c r="B23" s="13" t="s">
        <v>28</v>
      </c>
      <c r="C23" s="14" t="s">
        <v>19</v>
      </c>
      <c r="D23" s="20">
        <v>1000</v>
      </c>
      <c r="E23" s="20">
        <v>2.1150000000000002</v>
      </c>
      <c r="F23" s="19">
        <v>100000</v>
      </c>
      <c r="G23" s="19">
        <v>1</v>
      </c>
      <c r="H23" s="14" t="s">
        <v>26</v>
      </c>
      <c r="I23" s="17" t="s">
        <v>27</v>
      </c>
    </row>
    <row r="24" spans="1:9" x14ac:dyDescent="0.15">
      <c r="A24" s="24">
        <v>43923</v>
      </c>
      <c r="B24" s="13" t="s">
        <v>28</v>
      </c>
      <c r="C24" s="14" t="s">
        <v>16</v>
      </c>
      <c r="D24" s="20">
        <v>1000</v>
      </c>
      <c r="E24" s="20">
        <v>1.6259999999999999</v>
      </c>
      <c r="F24" s="19">
        <v>100000</v>
      </c>
      <c r="G24" s="19">
        <v>0</v>
      </c>
      <c r="H24" s="14" t="s">
        <v>26</v>
      </c>
      <c r="I24" s="17" t="s">
        <v>29</v>
      </c>
    </row>
    <row r="25" spans="1:9" x14ac:dyDescent="0.15">
      <c r="A25" s="24">
        <v>43931</v>
      </c>
      <c r="B25" s="13" t="s">
        <v>15</v>
      </c>
      <c r="C25" s="14" t="s">
        <v>30</v>
      </c>
      <c r="D25" s="20">
        <v>1000</v>
      </c>
      <c r="E25" s="20">
        <v>10.210000000000001</v>
      </c>
      <c r="F25" s="19">
        <v>10210</v>
      </c>
      <c r="G25" s="19">
        <v>0</v>
      </c>
      <c r="H25" s="14" t="s">
        <v>17</v>
      </c>
      <c r="I25" s="17"/>
    </row>
    <row r="26" spans="1:9" x14ac:dyDescent="0.15">
      <c r="A26" s="24">
        <v>43931</v>
      </c>
      <c r="B26" s="13" t="s">
        <v>18</v>
      </c>
      <c r="C26" s="14" t="s">
        <v>31</v>
      </c>
      <c r="D26" s="20">
        <v>1000</v>
      </c>
      <c r="E26" s="20">
        <v>12.79</v>
      </c>
      <c r="F26" s="19">
        <v>12790</v>
      </c>
      <c r="G26" s="19">
        <v>0</v>
      </c>
      <c r="H26" s="14" t="s">
        <v>17</v>
      </c>
      <c r="I26" s="17"/>
    </row>
    <row r="27" spans="1:9" x14ac:dyDescent="0.15">
      <c r="A27" s="24">
        <v>43931</v>
      </c>
      <c r="B27" s="13" t="s">
        <v>32</v>
      </c>
      <c r="C27" s="13" t="s">
        <v>33</v>
      </c>
      <c r="D27" s="20">
        <v>1</v>
      </c>
      <c r="E27" s="20">
        <v>3750</v>
      </c>
      <c r="F27" s="19">
        <v>112500</v>
      </c>
      <c r="G27" s="19">
        <v>36</v>
      </c>
      <c r="H27" s="14" t="s">
        <v>34</v>
      </c>
    </row>
    <row r="28" spans="1:9" x14ac:dyDescent="0.15">
      <c r="A28" s="24">
        <v>43931</v>
      </c>
      <c r="B28" s="13" t="s">
        <v>32</v>
      </c>
      <c r="C28" s="13" t="s">
        <v>35</v>
      </c>
      <c r="D28" s="20">
        <v>1</v>
      </c>
      <c r="E28" s="20">
        <v>3751</v>
      </c>
      <c r="F28" s="19">
        <v>112530</v>
      </c>
      <c r="G28" s="19">
        <v>360.1</v>
      </c>
      <c r="H28" s="14" t="s">
        <v>34</v>
      </c>
    </row>
    <row r="29" spans="1:9" x14ac:dyDescent="0.15">
      <c r="A29" s="24">
        <v>43931</v>
      </c>
      <c r="B29" s="13" t="s">
        <v>32</v>
      </c>
      <c r="C29" s="13" t="s">
        <v>36</v>
      </c>
      <c r="D29" s="20">
        <v>1</v>
      </c>
      <c r="E29" s="20">
        <v>3753</v>
      </c>
      <c r="F29" s="19">
        <v>112590</v>
      </c>
      <c r="G29" s="19">
        <v>36.03</v>
      </c>
      <c r="H29" s="14" t="s">
        <v>34</v>
      </c>
    </row>
    <row r="30" spans="1:9" x14ac:dyDescent="0.15">
      <c r="A30" s="24">
        <v>43931</v>
      </c>
      <c r="B30" s="13" t="s">
        <v>32</v>
      </c>
      <c r="C30" s="13" t="s">
        <v>37</v>
      </c>
      <c r="D30" s="20">
        <v>1</v>
      </c>
      <c r="E30" s="20">
        <v>3754</v>
      </c>
      <c r="F30" s="19">
        <v>112620</v>
      </c>
      <c r="G30" s="19">
        <v>360.38</v>
      </c>
      <c r="H30" s="14" t="s">
        <v>34</v>
      </c>
    </row>
    <row r="31" spans="1:9" x14ac:dyDescent="0.15">
      <c r="A31" s="24">
        <v>43934</v>
      </c>
      <c r="B31" s="13" t="s">
        <v>79</v>
      </c>
      <c r="C31" s="14" t="s">
        <v>75</v>
      </c>
      <c r="D31" s="20">
        <v>600</v>
      </c>
      <c r="E31" s="20">
        <v>121.19</v>
      </c>
      <c r="F31" s="19">
        <f>D31*E31</f>
        <v>72714</v>
      </c>
      <c r="G31" s="19">
        <f>D31*0.0049</f>
        <v>2.94</v>
      </c>
      <c r="H31" s="14" t="s">
        <v>76</v>
      </c>
    </row>
    <row r="32" spans="1:9" x14ac:dyDescent="0.15">
      <c r="A32" s="24">
        <v>43934</v>
      </c>
      <c r="B32" s="13" t="s">
        <v>79</v>
      </c>
      <c r="C32" s="14" t="s">
        <v>74</v>
      </c>
      <c r="D32" s="20">
        <v>500</v>
      </c>
      <c r="E32" s="20">
        <v>121.19</v>
      </c>
      <c r="F32" s="19">
        <f t="shared" ref="F32" si="0">D32*E32</f>
        <v>60595</v>
      </c>
      <c r="G32" s="19">
        <f>D32*0.0049</f>
        <v>2.4499999999999997</v>
      </c>
      <c r="H32" s="14" t="s">
        <v>76</v>
      </c>
    </row>
    <row r="33" spans="1:9" x14ac:dyDescent="0.15">
      <c r="A33" s="24">
        <v>43992</v>
      </c>
      <c r="B33" s="13" t="s">
        <v>80</v>
      </c>
      <c r="C33" s="13" t="s">
        <v>33</v>
      </c>
      <c r="D33" s="20">
        <v>1</v>
      </c>
      <c r="E33" s="20">
        <v>5.0500000000000003E-2</v>
      </c>
      <c r="F33" s="19">
        <f>D33*E33*10000</f>
        <v>505.00000000000006</v>
      </c>
      <c r="G33" s="19">
        <v>10</v>
      </c>
      <c r="H33" s="14" t="s">
        <v>77</v>
      </c>
      <c r="I33" s="15"/>
    </row>
    <row r="34" spans="1:9" x14ac:dyDescent="0.15">
      <c r="A34" s="24">
        <v>43992</v>
      </c>
      <c r="B34" s="13" t="s">
        <v>81</v>
      </c>
      <c r="C34" s="13" t="s">
        <v>35</v>
      </c>
      <c r="D34" s="20">
        <v>1</v>
      </c>
      <c r="E34" s="20">
        <v>5.0500000000000003E-2</v>
      </c>
      <c r="F34" s="19">
        <f t="shared" ref="F34:F36" si="1">D34*E34*10000</f>
        <v>505.00000000000006</v>
      </c>
      <c r="G34" s="19">
        <v>10</v>
      </c>
      <c r="H34" s="14" t="s">
        <v>77</v>
      </c>
      <c r="I34" s="15"/>
    </row>
    <row r="35" spans="1:9" x14ac:dyDescent="0.15">
      <c r="A35" s="24">
        <v>43992</v>
      </c>
      <c r="B35" s="13" t="s">
        <v>80</v>
      </c>
      <c r="C35" s="13" t="s">
        <v>36</v>
      </c>
      <c r="D35" s="20">
        <v>1</v>
      </c>
      <c r="E35" s="20">
        <v>5.0500000000000003E-2</v>
      </c>
      <c r="F35" s="19">
        <f t="shared" si="1"/>
        <v>505.00000000000006</v>
      </c>
      <c r="G35" s="19">
        <v>10</v>
      </c>
      <c r="H35" s="14" t="s">
        <v>77</v>
      </c>
      <c r="I35" s="15"/>
    </row>
    <row r="36" spans="1:9" x14ac:dyDescent="0.15">
      <c r="A36" s="24">
        <v>43992</v>
      </c>
      <c r="B36" s="13" t="s">
        <v>80</v>
      </c>
      <c r="C36" s="13" t="s">
        <v>37</v>
      </c>
      <c r="D36" s="20">
        <v>1</v>
      </c>
      <c r="E36" s="20">
        <v>5.0500000000000003E-2</v>
      </c>
      <c r="F36" s="19">
        <f t="shared" si="1"/>
        <v>505.00000000000006</v>
      </c>
      <c r="G36" s="19">
        <v>10</v>
      </c>
      <c r="H36" s="14" t="s">
        <v>77</v>
      </c>
      <c r="I36" s="15"/>
    </row>
  </sheetData>
  <phoneticPr fontId="7" type="noConversion"/>
  <pageMargins left="0.75" right="0.75" top="1" bottom="1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selection activeCell="C16" sqref="C16"/>
    </sheetView>
  </sheetViews>
  <sheetFormatPr defaultColWidth="9" defaultRowHeight="12" x14ac:dyDescent="0.15"/>
  <cols>
    <col min="1" max="1" width="20.875" style="1"/>
    <col min="2" max="2" width="14.75" style="1"/>
    <col min="3" max="3" width="69.5" style="1" customWidth="1"/>
    <col min="4" max="1025" width="8.5" style="1"/>
    <col min="1026" max="16384" width="9" style="1"/>
  </cols>
  <sheetData>
    <row r="1" spans="1:3" x14ac:dyDescent="0.15">
      <c r="A1" s="2" t="s">
        <v>38</v>
      </c>
    </row>
    <row r="2" spans="1:3" ht="16.5" x14ac:dyDescent="0.15">
      <c r="A2" s="3" t="s">
        <v>39</v>
      </c>
      <c r="B2" s="3" t="s">
        <v>8</v>
      </c>
      <c r="C2" s="4"/>
    </row>
    <row r="3" spans="1:3" x14ac:dyDescent="0.15">
      <c r="A3" s="1" t="s">
        <v>0</v>
      </c>
      <c r="B3" s="28" t="s">
        <v>40</v>
      </c>
      <c r="C3" s="28"/>
    </row>
    <row r="4" spans="1:3" x14ac:dyDescent="0.15">
      <c r="A4" s="1" t="s">
        <v>1</v>
      </c>
      <c r="B4" s="28" t="s">
        <v>41</v>
      </c>
      <c r="C4" s="28"/>
    </row>
    <row r="5" spans="1:3" x14ac:dyDescent="0.15">
      <c r="A5" s="1" t="s">
        <v>2</v>
      </c>
      <c r="B5" s="28" t="s">
        <v>42</v>
      </c>
      <c r="C5" s="28"/>
    </row>
    <row r="6" spans="1:3" x14ac:dyDescent="0.15">
      <c r="A6" s="1" t="s">
        <v>3</v>
      </c>
      <c r="B6" s="29"/>
      <c r="C6" s="29"/>
    </row>
    <row r="7" spans="1:3" x14ac:dyDescent="0.15">
      <c r="A7" s="1" t="s">
        <v>4</v>
      </c>
      <c r="B7" s="28" t="s">
        <v>43</v>
      </c>
      <c r="C7" s="28"/>
    </row>
    <row r="8" spans="1:3" x14ac:dyDescent="0.15">
      <c r="A8" s="1" t="s">
        <v>5</v>
      </c>
      <c r="B8" s="28" t="s">
        <v>82</v>
      </c>
      <c r="C8" s="28"/>
    </row>
    <row r="9" spans="1:3" x14ac:dyDescent="0.15">
      <c r="A9" s="1" t="s">
        <v>6</v>
      </c>
      <c r="B9" s="29"/>
      <c r="C9" s="29"/>
    </row>
    <row r="10" spans="1:3" ht="12" customHeight="1" x14ac:dyDescent="0.15">
      <c r="A10" s="1" t="s">
        <v>7</v>
      </c>
      <c r="B10" s="27" t="s">
        <v>88</v>
      </c>
      <c r="C10" s="27"/>
    </row>
    <row r="11" spans="1:3" x14ac:dyDescent="0.15">
      <c r="B11" s="27"/>
      <c r="C11" s="27"/>
    </row>
    <row r="12" spans="1:3" x14ac:dyDescent="0.15">
      <c r="A12" s="2" t="s">
        <v>44</v>
      </c>
    </row>
    <row r="13" spans="1:3" ht="16.5" x14ac:dyDescent="0.15">
      <c r="A13" s="3" t="s">
        <v>45</v>
      </c>
      <c r="B13" s="3" t="s">
        <v>46</v>
      </c>
      <c r="C13" s="3" t="s">
        <v>8</v>
      </c>
    </row>
    <row r="14" spans="1:3" x14ac:dyDescent="0.15">
      <c r="A14" s="1" t="s">
        <v>47</v>
      </c>
      <c r="B14" s="1" t="s">
        <v>48</v>
      </c>
      <c r="C14" s="1" t="s">
        <v>49</v>
      </c>
    </row>
    <row r="15" spans="1:3" x14ac:dyDescent="0.15">
      <c r="A15" s="1" t="s">
        <v>50</v>
      </c>
      <c r="B15" s="1" t="s">
        <v>51</v>
      </c>
      <c r="C15" s="1" t="s">
        <v>52</v>
      </c>
    </row>
    <row r="16" spans="1:3" x14ac:dyDescent="0.15">
      <c r="A16" s="1" t="s">
        <v>53</v>
      </c>
      <c r="B16" s="1" t="s">
        <v>54</v>
      </c>
      <c r="C16" s="1" t="s">
        <v>55</v>
      </c>
    </row>
    <row r="17" spans="1:3" x14ac:dyDescent="0.15">
      <c r="A17" s="1" t="s">
        <v>56</v>
      </c>
      <c r="B17" s="1" t="s">
        <v>57</v>
      </c>
    </row>
    <row r="18" spans="1:3" x14ac:dyDescent="0.15">
      <c r="A18" s="1" t="s">
        <v>58</v>
      </c>
      <c r="B18" s="1" t="s">
        <v>59</v>
      </c>
    </row>
    <row r="19" spans="1:3" x14ac:dyDescent="0.15">
      <c r="A19" s="1" t="s">
        <v>60</v>
      </c>
      <c r="B19" s="1" t="s">
        <v>61</v>
      </c>
    </row>
    <row r="20" spans="1:3" x14ac:dyDescent="0.15">
      <c r="A20" s="1" t="s">
        <v>62</v>
      </c>
      <c r="B20" s="1" t="s">
        <v>63</v>
      </c>
    </row>
    <row r="21" spans="1:3" x14ac:dyDescent="0.15">
      <c r="A21" s="1" t="s">
        <v>64</v>
      </c>
      <c r="B21" s="1" t="s">
        <v>65</v>
      </c>
    </row>
    <row r="22" spans="1:3" x14ac:dyDescent="0.15">
      <c r="A22" s="1" t="s">
        <v>66</v>
      </c>
      <c r="B22" s="1" t="s">
        <v>67</v>
      </c>
      <c r="C22" s="1" t="s">
        <v>68</v>
      </c>
    </row>
    <row r="24" spans="1:3" x14ac:dyDescent="0.15">
      <c r="A24" s="5" t="s">
        <v>69</v>
      </c>
      <c r="B24" s="6"/>
      <c r="C24" s="6"/>
    </row>
    <row r="25" spans="1:3" ht="16.5" x14ac:dyDescent="0.15">
      <c r="A25" s="7" t="s">
        <v>70</v>
      </c>
      <c r="B25" s="7"/>
      <c r="C25" s="7"/>
    </row>
    <row r="26" spans="1:3" x14ac:dyDescent="0.15">
      <c r="A26" s="8" t="s">
        <v>71</v>
      </c>
    </row>
  </sheetData>
  <mergeCells count="8">
    <mergeCell ref="B10:C11"/>
    <mergeCell ref="B8:C8"/>
    <mergeCell ref="B9:C9"/>
    <mergeCell ref="B3:C3"/>
    <mergeCell ref="B4:C4"/>
    <mergeCell ref="B5:C5"/>
    <mergeCell ref="B6:C6"/>
    <mergeCell ref="B7:C7"/>
  </mergeCells>
  <phoneticPr fontId="7" type="noConversion"/>
  <pageMargins left="0.75" right="0.75" top="1" bottom="1" header="0.51041666666666696" footer="0.51041666666666696"/>
  <pageSetup paperSize="9" firstPageNumber="0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规则说明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jiangyang</cp:lastModifiedBy>
  <cp:revision>3</cp:revision>
  <dcterms:created xsi:type="dcterms:W3CDTF">2018-02-27T11:14:00Z</dcterms:created>
  <dcterms:modified xsi:type="dcterms:W3CDTF">2023-06-05T09:44:36Z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2052-10.1.0.6159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